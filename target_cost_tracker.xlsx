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OM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<sst xmlns="http://schemas.openxmlformats.org/spreadsheetml/2006/main" count="201" uniqueCount="129">
  <si>
    <t xml:space="preserve">Assumptions &amp; rates (synthetic, illustrative)</t>
  </si>
  <si>
    <t xml:space="preserve">Blue cells = inputs you can edit; yellow = key levers. All costs JPY.</t>
  </si>
  <si>
    <t xml:space="preserve">Global levers</t>
  </si>
  <si>
    <t xml:space="preserve">Material rates (JPY/kg, drawing parts)</t>
  </si>
  <si>
    <t xml:space="preserve">Process rates by commodity</t>
  </si>
  <si>
    <t xml:space="preserve">Scrap %</t>
  </si>
  <si>
    <t xml:space="preserve">FR4</t>
  </si>
  <si>
    <t xml:space="preserve">Commodity</t>
  </si>
  <si>
    <t xml:space="preserve">Var (JPY/g)</t>
  </si>
  <si>
    <t xml:space="preserve">Fixed (JPY)</t>
  </si>
  <si>
    <t xml:space="preserve">Overhead %</t>
  </si>
  <si>
    <t xml:space="preserve">Alloy</t>
  </si>
  <si>
    <t xml:space="preserve">Electromech</t>
  </si>
  <si>
    <t xml:space="preserve">Supplier margin %</t>
  </si>
  <si>
    <t xml:space="preserve">Aluminum</t>
  </si>
  <si>
    <t xml:space="preserve">Mechanical</t>
  </si>
  <si>
    <t xml:space="preserve">Catalog handling %</t>
  </si>
  <si>
    <t xml:space="preserve">Ceramic</t>
  </si>
  <si>
    <t xml:space="preserve">Fasteners</t>
  </si>
  <si>
    <t xml:space="preserve">Target reduction %</t>
  </si>
  <si>
    <t xml:space="preserve">PA66</t>
  </si>
  <si>
    <t xml:space="preserve">Packaging</t>
  </si>
  <si>
    <t xml:space="preserve">Annual volume (units)</t>
  </si>
  <si>
    <t xml:space="preserve">Ferrite</t>
  </si>
  <si>
    <t xml:space="preserve">Steel</t>
  </si>
  <si>
    <t xml:space="preserve">Catalog parts (Electronics) are benchmarked at market_ref x (1 + catalog handling), not weight-costed.</t>
  </si>
  <si>
    <t xml:space="preserve">Copper</t>
  </si>
  <si>
    <t xml:space="preserve">SUS304</t>
  </si>
  <si>
    <t xml:space="preserve">ADC12</t>
  </si>
  <si>
    <t xml:space="preserve">PPS</t>
  </si>
  <si>
    <t xml:space="preserve">Carbon/SiC</t>
  </si>
  <si>
    <t xml:space="preserve">EPDM</t>
  </si>
  <si>
    <t xml:space="preserve">Silicone</t>
  </si>
  <si>
    <t xml:space="preserve">PET</t>
  </si>
  <si>
    <t xml:space="preserve">PE</t>
  </si>
  <si>
    <t xml:space="preserve">part_no</t>
  </si>
  <si>
    <t xml:space="preserve">part_name</t>
  </si>
  <si>
    <t xml:space="preserve">commodity</t>
  </si>
  <si>
    <t xml:space="preserve">supplier</t>
  </si>
  <si>
    <t xml:space="preserve">material</t>
  </si>
  <si>
    <t xml:space="preserve">qty</t>
  </si>
  <si>
    <t xml:space="preserve">weight_g</t>
  </si>
  <si>
    <t xml:space="preserve">current_price_jpy</t>
  </si>
  <si>
    <t xml:space="preserve">market_ref_jpy</t>
  </si>
  <si>
    <t xml:space="preserve">current_ext_jpy</t>
  </si>
  <si>
    <t xml:space="preserve">should_cost_unit_jpy</t>
  </si>
  <si>
    <t xml:space="preserve">should_cost_ext_jpy</t>
  </si>
  <si>
    <t xml:space="preserve">gap_jpy</t>
  </si>
  <si>
    <t xml:space="preserve">annual_gap_jpy</t>
  </si>
  <si>
    <t xml:space="preserve">P-001</t>
  </si>
  <si>
    <t xml:space="preserve">Main PCB (4-layer FR4)</t>
  </si>
  <si>
    <t xml:space="preserve">Electronics</t>
  </si>
  <si>
    <t xml:space="preserve">Nagoya Circuits</t>
  </si>
  <si>
    <t xml:space="preserve">P-002</t>
  </si>
  <si>
    <t xml:space="preserve">MCU 32-bit (motor control)</t>
  </si>
  <si>
    <t xml:space="preserve">Denki Parts KK</t>
  </si>
  <si>
    <t xml:space="preserve">Silicon</t>
  </si>
  <si>
    <t xml:space="preserve">P-003</t>
  </si>
  <si>
    <t xml:space="preserve">Gate driver IC</t>
  </si>
  <si>
    <t xml:space="preserve">P-004</t>
  </si>
  <si>
    <t xml:space="preserve">Power MOSFET (40V)</t>
  </si>
  <si>
    <t xml:space="preserve">P-005</t>
  </si>
  <si>
    <t xml:space="preserve">Current sense shunt</t>
  </si>
  <si>
    <t xml:space="preserve">P-006</t>
  </si>
  <si>
    <t xml:space="preserve">DC-link capacitor (electrolytic)</t>
  </si>
  <si>
    <t xml:space="preserve">P-007</t>
  </si>
  <si>
    <t xml:space="preserve">Ceramic capacitor set (MLCC)</t>
  </si>
  <si>
    <t xml:space="preserve">P-008</t>
  </si>
  <si>
    <t xml:space="preserve">Connector 6-pin sealed</t>
  </si>
  <si>
    <t xml:space="preserve">Sunrise Micro</t>
  </si>
  <si>
    <t xml:space="preserve">P-009</t>
  </si>
  <si>
    <t xml:space="preserve">EMC filter choke</t>
  </si>
  <si>
    <t xml:space="preserve">P-010</t>
  </si>
  <si>
    <t xml:space="preserve">Position sensor (Hall)</t>
  </si>
  <si>
    <t xml:space="preserve">P-011</t>
  </si>
  <si>
    <t xml:space="preserve">Stator core (laminated)</t>
  </si>
  <si>
    <t xml:space="preserve">Chubu Motor Works</t>
  </si>
  <si>
    <t xml:space="preserve">P-012</t>
  </si>
  <si>
    <t xml:space="preserve">Stator winding (copper)</t>
  </si>
  <si>
    <t xml:space="preserve">Aichi Windings</t>
  </si>
  <si>
    <t xml:space="preserve">P-013</t>
  </si>
  <si>
    <t xml:space="preserve">Rotor assembly</t>
  </si>
  <si>
    <t xml:space="preserve">P-014</t>
  </si>
  <si>
    <t xml:space="preserve">Ferrite magnet set</t>
  </si>
  <si>
    <t xml:space="preserve">P-015</t>
  </si>
  <si>
    <t xml:space="preserve">Shaft (stainless)</t>
  </si>
  <si>
    <t xml:space="preserve">P-016</t>
  </si>
  <si>
    <t xml:space="preserve">Bearing 608ZZ pair</t>
  </si>
  <si>
    <t xml:space="preserve">P-017</t>
  </si>
  <si>
    <t xml:space="preserve">Pump housing (die-cast Al)</t>
  </si>
  <si>
    <t xml:space="preserve">Toyokawa Diecast</t>
  </si>
  <si>
    <t xml:space="preserve">P-018</t>
  </si>
  <si>
    <t xml:space="preserve">Volute cover (PPS-GF40)</t>
  </si>
  <si>
    <t xml:space="preserve">Mikawa Polymer</t>
  </si>
  <si>
    <t xml:space="preserve">P-019</t>
  </si>
  <si>
    <t xml:space="preserve">Impeller (PPS-GF40)</t>
  </si>
  <si>
    <t xml:space="preserve">P-020</t>
  </si>
  <si>
    <t xml:space="preserve">Mechanical seal</t>
  </si>
  <si>
    <t xml:space="preserve">Sealtech JP</t>
  </si>
  <si>
    <t xml:space="preserve">P-021</t>
  </si>
  <si>
    <t xml:space="preserve">O-ring set (EPDM)</t>
  </si>
  <si>
    <t xml:space="preserve">P-022</t>
  </si>
  <si>
    <t xml:space="preserve">Mounting bracket (stamped)</t>
  </si>
  <si>
    <t xml:space="preserve">P-023</t>
  </si>
  <si>
    <t xml:space="preserve">Thermal pad</t>
  </si>
  <si>
    <t xml:space="preserve">P-024</t>
  </si>
  <si>
    <t xml:space="preserve">Screw set M4/M5 (x8)</t>
  </si>
  <si>
    <t xml:space="preserve">Hamamatsu Fastener</t>
  </si>
  <si>
    <t xml:space="preserve">P-025</t>
  </si>
  <si>
    <t xml:space="preserve">Label + serial plate</t>
  </si>
  <si>
    <t xml:space="preserve">Shizuoka Pack</t>
  </si>
  <si>
    <t xml:space="preserve">P-026</t>
  </si>
  <si>
    <t xml:space="preserve">Protective cap set</t>
  </si>
  <si>
    <t xml:space="preserve">Target-cost attainment — electric coolant pump assembly (synthetic BOM)</t>
  </si>
  <si>
    <t xml:space="preserve">All figures recalculate from BOM + Assumptions. Data is illustrative; the method is the deliverable.</t>
  </si>
  <si>
    <t xml:space="preserve">Current assembly cost</t>
  </si>
  <si>
    <t xml:space="preserve">Should-cost (bottom-up + market benchmark)</t>
  </si>
  <si>
    <t xml:space="preserve">Target cost</t>
  </si>
  <si>
    <t xml:space="preserve">Gap: current vs should-cost</t>
  </si>
  <si>
    <t xml:space="preserve">Gap % of current</t>
  </si>
  <si>
    <t xml:space="preserve">Required reduction to target</t>
  </si>
  <si>
    <t xml:space="preserve">Target attainment (should-cost achieved)</t>
  </si>
  <si>
    <t xml:space="preserve">Annual value @ volume</t>
  </si>
  <si>
    <t xml:space="preserve">Gap by commodity</t>
  </si>
  <si>
    <t xml:space="preserve">Current</t>
  </si>
  <si>
    <t xml:space="preserve">Should</t>
  </si>
  <si>
    <t xml:space="preserve">Gap</t>
  </si>
  <si>
    <t xml:space="preserve">How to use: edit blue cells (Assumptions levers, BOM prices/weights) — everything recalculates.</t>
  </si>
  <si>
    <t xml:space="preserve">Example: raise Copper to 1,600 JPY/kg to simulate a commodity shock; attainment updates instantly.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</si>
</sst>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\¥#,##0"/>
    <numFmt numFmtId="168" formatCode="\¥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  <c r="G4" s="3" t="s">
        <v>4</v>
      </c>
    </row>
    <row r="5" customFormat="false" ht="15" hidden="false" customHeight="false" outlineLevel="0" collapsed="false">
      <c r="A5" s="4" t="s">
        <v>5</v>
      </c>
      <c r="B5" s="5" t="n">
        <v>0.03</v>
      </c>
      <c r="D5" s="4" t="s">
        <v>6</v>
      </c>
      <c r="E5" s="6" t="n">
        <v>2400</v>
      </c>
      <c r="G5" s="3" t="s">
        <v>7</v>
      </c>
      <c r="H5" s="3" t="s">
        <v>8</v>
      </c>
      <c r="I5" s="3" t="s">
        <v>9</v>
      </c>
    </row>
    <row r="6" customFormat="false" ht="15" hidden="false" customHeight="false" outlineLevel="0" collapsed="false">
      <c r="A6" s="4" t="s">
        <v>10</v>
      </c>
      <c r="B6" s="5" t="n">
        <v>0.12</v>
      </c>
      <c r="D6" s="4" t="s">
        <v>11</v>
      </c>
      <c r="E6" s="6" t="n">
        <v>3200</v>
      </c>
      <c r="G6" s="4" t="s">
        <v>12</v>
      </c>
      <c r="H6" s="7" t="n">
        <v>0.55</v>
      </c>
      <c r="I6" s="7" t="n">
        <v>40</v>
      </c>
    </row>
    <row r="7" customFormat="false" ht="15" hidden="false" customHeight="false" outlineLevel="0" collapsed="false">
      <c r="A7" s="4" t="s">
        <v>13</v>
      </c>
      <c r="B7" s="5" t="n">
        <v>0.1</v>
      </c>
      <c r="D7" s="4" t="s">
        <v>14</v>
      </c>
      <c r="E7" s="6" t="n">
        <v>950</v>
      </c>
      <c r="G7" s="4" t="s">
        <v>15</v>
      </c>
      <c r="H7" s="7" t="n">
        <v>0.5</v>
      </c>
      <c r="I7" s="7" t="n">
        <v>18</v>
      </c>
    </row>
    <row r="8" customFormat="false" ht="15" hidden="false" customHeight="false" outlineLevel="0" collapsed="false">
      <c r="A8" s="4" t="s">
        <v>16</v>
      </c>
      <c r="B8" s="5" t="n">
        <v>0.02</v>
      </c>
      <c r="D8" s="4" t="s">
        <v>17</v>
      </c>
      <c r="E8" s="6" t="n">
        <v>3000</v>
      </c>
      <c r="G8" s="4" t="s">
        <v>18</v>
      </c>
      <c r="H8" s="7" t="n">
        <v>0.1</v>
      </c>
      <c r="I8" s="7" t="n">
        <v>4</v>
      </c>
    </row>
    <row r="9" customFormat="false" ht="15" hidden="false" customHeight="false" outlineLevel="0" collapsed="false">
      <c r="A9" s="4" t="s">
        <v>19</v>
      </c>
      <c r="B9" s="5" t="n">
        <v>0.08</v>
      </c>
      <c r="D9" s="4" t="s">
        <v>20</v>
      </c>
      <c r="E9" s="6" t="n">
        <v>780</v>
      </c>
      <c r="G9" s="4" t="s">
        <v>21</v>
      </c>
      <c r="H9" s="7" t="n">
        <v>0.1</v>
      </c>
      <c r="I9" s="7" t="n">
        <v>3</v>
      </c>
    </row>
    <row r="10" customFormat="false" ht="15" hidden="false" customHeight="false" outlineLevel="0" collapsed="false">
      <c r="A10" s="4" t="s">
        <v>22</v>
      </c>
      <c r="B10" s="8" t="n">
        <v>120000</v>
      </c>
      <c r="D10" s="4" t="s">
        <v>23</v>
      </c>
      <c r="E10" s="6" t="n">
        <v>1500</v>
      </c>
    </row>
    <row r="11" customFormat="false" ht="15" hidden="false" customHeight="false" outlineLevel="0" collapsed="false">
      <c r="D11" s="4" t="s">
        <v>24</v>
      </c>
      <c r="E11" s="6" t="n">
        <v>320</v>
      </c>
      <c r="G11" s="2" t="s">
        <v>25</v>
      </c>
    </row>
    <row r="12" customFormat="false" ht="15" hidden="false" customHeight="false" outlineLevel="0" collapsed="false">
      <c r="D12" s="4" t="s">
        <v>26</v>
      </c>
      <c r="E12" s="6" t="n">
        <v>1450</v>
      </c>
    </row>
    <row r="13" customFormat="false" ht="15" hidden="false" customHeight="false" outlineLevel="0" collapsed="false">
      <c r="D13" s="4" t="s">
        <v>27</v>
      </c>
      <c r="E13" s="6" t="n">
        <v>680</v>
      </c>
    </row>
    <row r="14" customFormat="false" ht="15" hidden="false" customHeight="false" outlineLevel="0" collapsed="false">
      <c r="D14" s="4" t="s">
        <v>28</v>
      </c>
      <c r="E14" s="6" t="n">
        <v>640</v>
      </c>
    </row>
    <row r="15" customFormat="false" ht="15" hidden="false" customHeight="false" outlineLevel="0" collapsed="false">
      <c r="D15" s="4" t="s">
        <v>29</v>
      </c>
      <c r="E15" s="6" t="n">
        <v>1250</v>
      </c>
    </row>
    <row r="16" customFormat="false" ht="15" hidden="false" customHeight="false" outlineLevel="0" collapsed="false">
      <c r="D16" s="4" t="s">
        <v>30</v>
      </c>
      <c r="E16" s="6" t="n">
        <v>8000</v>
      </c>
    </row>
    <row r="17" customFormat="false" ht="15" hidden="false" customHeight="false" outlineLevel="0" collapsed="false">
      <c r="D17" s="4" t="s">
        <v>31</v>
      </c>
      <c r="E17" s="6" t="n">
        <v>900</v>
      </c>
    </row>
    <row r="18" customFormat="false" ht="15" hidden="false" customHeight="false" outlineLevel="0" collapsed="false">
      <c r="D18" s="4" t="s">
        <v>32</v>
      </c>
      <c r="E18" s="6" t="n">
        <v>800</v>
      </c>
    </row>
    <row r="19" customFormat="false" ht="15" hidden="false" customHeight="false" outlineLevel="0" collapsed="false">
      <c r="D19" s="4" t="s">
        <v>33</v>
      </c>
      <c r="E19" s="6" t="n">
        <v>400</v>
      </c>
    </row>
    <row r="20" customFormat="false" ht="15" hidden="false" customHeight="false" outlineLevel="0" collapsed="false">
      <c r="D20" s="4" t="s">
        <v>34</v>
      </c>
      <c r="E20" s="6" t="n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</row>
    <row r="2" customFormat="false" ht="15" hidden="false" customHeight="false" outlineLevel="0" collapsed="false">
      <c r="A2" s="10" t="s">
        <v>49</v>
      </c>
      <c r="B2" s="10" t="s">
        <v>50</v>
      </c>
      <c r="C2" s="10" t="s">
        <v>51</v>
      </c>
      <c r="D2" s="10" t="s">
        <v>52</v>
      </c>
      <c r="E2" s="10" t="s">
        <v>6</v>
      </c>
      <c r="F2" s="11" t="n">
        <v>1</v>
      </c>
      <c r="G2" s="11" t="n">
        <v>82</v>
      </c>
      <c r="H2" s="11" t="n">
        <v>604</v>
      </c>
      <c r="I2" s="11" t="n">
        <v>559</v>
      </c>
      <c r="J2" s="12" t="n">
        <f aca="false">F2*H2</f>
        <v>604</v>
      </c>
      <c r="K2" s="13" t="n">
        <f aca="false">IF(C2="Electronics",I2*(1+Assumptions!$B$8),((G2/1000)*INDEX(Assumptions!$E$5:$E$20,MATCH(E2,Assumptions!$D$5:$D$20,0))*(1+Assumptions!$B$5)+G2*INDEX(Assumptions!$H$6:$H$9,MATCH(C2,Assumptions!$G$6:$G$9,0))+INDEX(Assumptions!$I$6:$I$9,MATCH(C2,Assumptions!$G$6:$G$9,0)))*(1+Assumptions!$B$6)*(1+Assumptions!$B$7))</f>
        <v>570.18</v>
      </c>
      <c r="L2" s="13" t="n">
        <f aca="false">K2*F2</f>
        <v>570.18</v>
      </c>
      <c r="M2" s="13" t="n">
        <f aca="false">J2-L2</f>
        <v>33.8199999999999</v>
      </c>
      <c r="N2" s="12" t="n">
        <f aca="false">M2*Assumptions!$B$10</f>
        <v>4058399.99999999</v>
      </c>
    </row>
    <row r="3" customFormat="false" ht="15" hidden="false" customHeight="false" outlineLevel="0" collapsed="false">
      <c r="A3" s="10" t="s">
        <v>53</v>
      </c>
      <c r="B3" s="10" t="s">
        <v>54</v>
      </c>
      <c r="C3" s="10" t="s">
        <v>51</v>
      </c>
      <c r="D3" s="10" t="s">
        <v>55</v>
      </c>
      <c r="E3" s="10" t="s">
        <v>56</v>
      </c>
      <c r="F3" s="11" t="n">
        <v>1</v>
      </c>
      <c r="G3" s="11" t="n">
        <v>4</v>
      </c>
      <c r="H3" s="11" t="n">
        <v>440</v>
      </c>
      <c r="I3" s="11" t="n">
        <v>407</v>
      </c>
      <c r="J3" s="12" t="n">
        <f aca="false">F3*H3</f>
        <v>440</v>
      </c>
      <c r="K3" s="13" t="n">
        <f aca="false">IF(C3="Electronics",I3*(1+Assumptions!$B$8),((G3/1000)*INDEX(Assumptions!$E$5:$E$20,MATCH(E3,Assumptions!$D$5:$D$20,0))*(1+Assumptions!$B$5)+G3*INDEX(Assumptions!$H$6:$H$9,MATCH(C3,Assumptions!$G$6:$G$9,0))+INDEX(Assumptions!$I$6:$I$9,MATCH(C3,Assumptions!$G$6:$G$9,0)))*(1+Assumptions!$B$6)*(1+Assumptions!$B$7))</f>
        <v>415.14</v>
      </c>
      <c r="L3" s="13" t="n">
        <f aca="false">K3*F3</f>
        <v>415.14</v>
      </c>
      <c r="M3" s="13" t="n">
        <f aca="false">J3-L3</f>
        <v>24.86</v>
      </c>
      <c r="N3" s="12" t="n">
        <f aca="false">M3*Assumptions!$B$10</f>
        <v>2983200</v>
      </c>
    </row>
    <row r="4" customFormat="false" ht="15" hidden="false" customHeight="false" outlineLevel="0" collapsed="false">
      <c r="A4" s="10" t="s">
        <v>57</v>
      </c>
      <c r="B4" s="10" t="s">
        <v>58</v>
      </c>
      <c r="C4" s="10" t="s">
        <v>51</v>
      </c>
      <c r="D4" s="10" t="s">
        <v>52</v>
      </c>
      <c r="E4" s="10" t="s">
        <v>56</v>
      </c>
      <c r="F4" s="11" t="n">
        <v>1</v>
      </c>
      <c r="G4" s="11" t="n">
        <v>2</v>
      </c>
      <c r="H4" s="11" t="n">
        <v>201</v>
      </c>
      <c r="I4" s="11" t="n">
        <v>179</v>
      </c>
      <c r="J4" s="12" t="n">
        <f aca="false">F4*H4</f>
        <v>201</v>
      </c>
      <c r="K4" s="13" t="n">
        <f aca="false">IF(C4="Electronics",I4*(1+Assumptions!$B$8),((G4/1000)*INDEX(Assumptions!$E$5:$E$20,MATCH(E4,Assumptions!$D$5:$D$20,0))*(1+Assumptions!$B$5)+G4*INDEX(Assumptions!$H$6:$H$9,MATCH(C4,Assumptions!$G$6:$G$9,0))+INDEX(Assumptions!$I$6:$I$9,MATCH(C4,Assumptions!$G$6:$G$9,0)))*(1+Assumptions!$B$6)*(1+Assumptions!$B$7))</f>
        <v>182.58</v>
      </c>
      <c r="L4" s="13" t="n">
        <f aca="false">K4*F4</f>
        <v>182.58</v>
      </c>
      <c r="M4" s="13" t="n">
        <f aca="false">J4-L4</f>
        <v>18.42</v>
      </c>
      <c r="N4" s="12" t="n">
        <f aca="false">M4*Assumptions!$B$10</f>
        <v>2210400</v>
      </c>
    </row>
    <row r="5" customFormat="false" ht="15" hidden="false" customHeight="false" outlineLevel="0" collapsed="false">
      <c r="A5" s="10" t="s">
        <v>59</v>
      </c>
      <c r="B5" s="10" t="s">
        <v>60</v>
      </c>
      <c r="C5" s="10" t="s">
        <v>51</v>
      </c>
      <c r="D5" s="10" t="s">
        <v>52</v>
      </c>
      <c r="E5" s="10" t="s">
        <v>56</v>
      </c>
      <c r="F5" s="11" t="n">
        <v>2</v>
      </c>
      <c r="G5" s="11" t="n">
        <v>3</v>
      </c>
      <c r="H5" s="11" t="n">
        <v>95</v>
      </c>
      <c r="I5" s="11" t="n">
        <v>76</v>
      </c>
      <c r="J5" s="12" t="n">
        <f aca="false">F5*H5</f>
        <v>190</v>
      </c>
      <c r="K5" s="13" t="n">
        <f aca="false">IF(C5="Electronics",I5*(1+Assumptions!$B$8),((G5/1000)*INDEX(Assumptions!$E$5:$E$20,MATCH(E5,Assumptions!$D$5:$D$20,0))*(1+Assumptions!$B$5)+G5*INDEX(Assumptions!$H$6:$H$9,MATCH(C5,Assumptions!$G$6:$G$9,0))+INDEX(Assumptions!$I$6:$I$9,MATCH(C5,Assumptions!$G$6:$G$9,0)))*(1+Assumptions!$B$6)*(1+Assumptions!$B$7))</f>
        <v>77.52</v>
      </c>
      <c r="L5" s="13" t="n">
        <f aca="false">K5*F5</f>
        <v>155.04</v>
      </c>
      <c r="M5" s="13" t="n">
        <f aca="false">J5-L5</f>
        <v>34.96</v>
      </c>
      <c r="N5" s="12" t="n">
        <f aca="false">M5*Assumptions!$B$10</f>
        <v>4195200</v>
      </c>
    </row>
    <row r="6" customFormat="false" ht="15" hidden="false" customHeight="false" outlineLevel="0" collapsed="false">
      <c r="A6" s="10" t="s">
        <v>61</v>
      </c>
      <c r="B6" s="10" t="s">
        <v>62</v>
      </c>
      <c r="C6" s="10" t="s">
        <v>51</v>
      </c>
      <c r="D6" s="10" t="s">
        <v>55</v>
      </c>
      <c r="E6" s="10" t="s">
        <v>11</v>
      </c>
      <c r="F6" s="11" t="n">
        <v>1</v>
      </c>
      <c r="G6" s="11" t="n">
        <v>2</v>
      </c>
      <c r="H6" s="11" t="n">
        <v>34</v>
      </c>
      <c r="I6" s="11" t="n">
        <v>31</v>
      </c>
      <c r="J6" s="12" t="n">
        <f aca="false">F6*H6</f>
        <v>34</v>
      </c>
      <c r="K6" s="13" t="n">
        <f aca="false">IF(C6="Electronics",I6*(1+Assumptions!$B$8),((G6/1000)*INDEX(Assumptions!$E$5:$E$20,MATCH(E6,Assumptions!$D$5:$D$20,0))*(1+Assumptions!$B$5)+G6*INDEX(Assumptions!$H$6:$H$9,MATCH(C6,Assumptions!$G$6:$G$9,0))+INDEX(Assumptions!$I$6:$I$9,MATCH(C6,Assumptions!$G$6:$G$9,0)))*(1+Assumptions!$B$6)*(1+Assumptions!$B$7))</f>
        <v>31.62</v>
      </c>
      <c r="L6" s="13" t="n">
        <f aca="false">K6*F6</f>
        <v>31.62</v>
      </c>
      <c r="M6" s="13" t="n">
        <f aca="false">J6-L6</f>
        <v>2.38</v>
      </c>
      <c r="N6" s="12" t="n">
        <f aca="false">M6*Assumptions!$B$10</f>
        <v>285600</v>
      </c>
    </row>
    <row r="7" customFormat="false" ht="15" hidden="false" customHeight="false" outlineLevel="0" collapsed="false">
      <c r="A7" s="10" t="s">
        <v>63</v>
      </c>
      <c r="B7" s="10" t="s">
        <v>64</v>
      </c>
      <c r="C7" s="10" t="s">
        <v>51</v>
      </c>
      <c r="D7" s="10" t="s">
        <v>52</v>
      </c>
      <c r="E7" s="10" t="s">
        <v>14</v>
      </c>
      <c r="F7" s="11" t="n">
        <v>1</v>
      </c>
      <c r="G7" s="11" t="n">
        <v>18</v>
      </c>
      <c r="H7" s="11" t="n">
        <v>118</v>
      </c>
      <c r="I7" s="11" t="n">
        <v>107</v>
      </c>
      <c r="J7" s="12" t="n">
        <f aca="false">F7*H7</f>
        <v>118</v>
      </c>
      <c r="K7" s="13" t="n">
        <f aca="false">IF(C7="Electronics",I7*(1+Assumptions!$B$8),((G7/1000)*INDEX(Assumptions!$E$5:$E$20,MATCH(E7,Assumptions!$D$5:$D$20,0))*(1+Assumptions!$B$5)+G7*INDEX(Assumptions!$H$6:$H$9,MATCH(C7,Assumptions!$G$6:$G$9,0))+INDEX(Assumptions!$I$6:$I$9,MATCH(C7,Assumptions!$G$6:$G$9,0)))*(1+Assumptions!$B$6)*(1+Assumptions!$B$7))</f>
        <v>109.14</v>
      </c>
      <c r="L7" s="13" t="n">
        <f aca="false">K7*F7</f>
        <v>109.14</v>
      </c>
      <c r="M7" s="13" t="n">
        <f aca="false">J7-L7</f>
        <v>8.86</v>
      </c>
      <c r="N7" s="12" t="n">
        <f aca="false">M7*Assumptions!$B$10</f>
        <v>1063200</v>
      </c>
    </row>
    <row r="8" customFormat="false" ht="15" hidden="false" customHeight="false" outlineLevel="0" collapsed="false">
      <c r="A8" s="10" t="s">
        <v>65</v>
      </c>
      <c r="B8" s="10" t="s">
        <v>66</v>
      </c>
      <c r="C8" s="10" t="s">
        <v>51</v>
      </c>
      <c r="D8" s="10" t="s">
        <v>52</v>
      </c>
      <c r="E8" s="10" t="s">
        <v>17</v>
      </c>
      <c r="F8" s="11" t="n">
        <v>1</v>
      </c>
      <c r="G8" s="11" t="n">
        <v>6</v>
      </c>
      <c r="H8" s="11" t="n">
        <v>66</v>
      </c>
      <c r="I8" s="11" t="n">
        <v>58</v>
      </c>
      <c r="J8" s="12" t="n">
        <f aca="false">F8*H8</f>
        <v>66</v>
      </c>
      <c r="K8" s="13" t="n">
        <f aca="false">IF(C8="Electronics",I8*(1+Assumptions!$B$8),((G8/1000)*INDEX(Assumptions!$E$5:$E$20,MATCH(E8,Assumptions!$D$5:$D$20,0))*(1+Assumptions!$B$5)+G8*INDEX(Assumptions!$H$6:$H$9,MATCH(C8,Assumptions!$G$6:$G$9,0))+INDEX(Assumptions!$I$6:$I$9,MATCH(C8,Assumptions!$G$6:$G$9,0)))*(1+Assumptions!$B$6)*(1+Assumptions!$B$7))</f>
        <v>59.16</v>
      </c>
      <c r="L8" s="13" t="n">
        <f aca="false">K8*F8</f>
        <v>59.16</v>
      </c>
      <c r="M8" s="13" t="n">
        <f aca="false">J8-L8</f>
        <v>6.84</v>
      </c>
      <c r="N8" s="12" t="n">
        <f aca="false">M8*Assumptions!$B$10</f>
        <v>820800</v>
      </c>
    </row>
    <row r="9" customFormat="false" ht="15" hidden="false" customHeight="false" outlineLevel="0" collapsed="false">
      <c r="A9" s="10" t="s">
        <v>67</v>
      </c>
      <c r="B9" s="10" t="s">
        <v>68</v>
      </c>
      <c r="C9" s="10" t="s">
        <v>51</v>
      </c>
      <c r="D9" s="10" t="s">
        <v>69</v>
      </c>
      <c r="E9" s="10" t="s">
        <v>20</v>
      </c>
      <c r="F9" s="11" t="n">
        <v>1</v>
      </c>
      <c r="G9" s="11" t="n">
        <v>14</v>
      </c>
      <c r="H9" s="11" t="n">
        <v>155</v>
      </c>
      <c r="I9" s="11" t="n">
        <v>124</v>
      </c>
      <c r="J9" s="12" t="n">
        <f aca="false">F9*H9</f>
        <v>155</v>
      </c>
      <c r="K9" s="13" t="n">
        <f aca="false">IF(C9="Electronics",I9*(1+Assumptions!$B$8),((G9/1000)*INDEX(Assumptions!$E$5:$E$20,MATCH(E9,Assumptions!$D$5:$D$20,0))*(1+Assumptions!$B$5)+G9*INDEX(Assumptions!$H$6:$H$9,MATCH(C9,Assumptions!$G$6:$G$9,0))+INDEX(Assumptions!$I$6:$I$9,MATCH(C9,Assumptions!$G$6:$G$9,0)))*(1+Assumptions!$B$6)*(1+Assumptions!$B$7))</f>
        <v>126.48</v>
      </c>
      <c r="L9" s="13" t="n">
        <f aca="false">K9*F9</f>
        <v>126.48</v>
      </c>
      <c r="M9" s="13" t="n">
        <f aca="false">J9-L9</f>
        <v>28.52</v>
      </c>
      <c r="N9" s="12" t="n">
        <f aca="false">M9*Assumptions!$B$10</f>
        <v>3422400</v>
      </c>
    </row>
    <row r="10" customFormat="false" ht="15" hidden="false" customHeight="false" outlineLevel="0" collapsed="false">
      <c r="A10" s="10" t="s">
        <v>70</v>
      </c>
      <c r="B10" s="10" t="s">
        <v>71</v>
      </c>
      <c r="C10" s="10" t="s">
        <v>51</v>
      </c>
      <c r="D10" s="10" t="s">
        <v>55</v>
      </c>
      <c r="E10" s="10" t="s">
        <v>23</v>
      </c>
      <c r="F10" s="11" t="n">
        <v>1</v>
      </c>
      <c r="G10" s="11" t="n">
        <v>26</v>
      </c>
      <c r="H10" s="11" t="n">
        <v>103</v>
      </c>
      <c r="I10" s="11" t="n">
        <v>88</v>
      </c>
      <c r="J10" s="12" t="n">
        <f aca="false">F10*H10</f>
        <v>103</v>
      </c>
      <c r="K10" s="13" t="n">
        <f aca="false">IF(C10="Electronics",I10*(1+Assumptions!$B$8),((G10/1000)*INDEX(Assumptions!$E$5:$E$20,MATCH(E10,Assumptions!$D$5:$D$20,0))*(1+Assumptions!$B$5)+G10*INDEX(Assumptions!$H$6:$H$9,MATCH(C10,Assumptions!$G$6:$G$9,0))+INDEX(Assumptions!$I$6:$I$9,MATCH(C10,Assumptions!$G$6:$G$9,0)))*(1+Assumptions!$B$6)*(1+Assumptions!$B$7))</f>
        <v>89.76</v>
      </c>
      <c r="L10" s="13" t="n">
        <f aca="false">K10*F10</f>
        <v>89.76</v>
      </c>
      <c r="M10" s="13" t="n">
        <f aca="false">J10-L10</f>
        <v>13.24</v>
      </c>
      <c r="N10" s="12" t="n">
        <f aca="false">M10*Assumptions!$B$10</f>
        <v>1588800</v>
      </c>
    </row>
    <row r="11" customFormat="false" ht="15" hidden="false" customHeight="false" outlineLevel="0" collapsed="false">
      <c r="A11" s="10" t="s">
        <v>72</v>
      </c>
      <c r="B11" s="10" t="s">
        <v>73</v>
      </c>
      <c r="C11" s="10" t="s">
        <v>51</v>
      </c>
      <c r="D11" s="10" t="s">
        <v>55</v>
      </c>
      <c r="E11" s="10" t="s">
        <v>56</v>
      </c>
      <c r="F11" s="11" t="n">
        <v>1</v>
      </c>
      <c r="G11" s="11" t="n">
        <v>3</v>
      </c>
      <c r="H11" s="11" t="n">
        <v>128</v>
      </c>
      <c r="I11" s="11" t="n">
        <v>119</v>
      </c>
      <c r="J11" s="12" t="n">
        <f aca="false">F11*H11</f>
        <v>128</v>
      </c>
      <c r="K11" s="13" t="n">
        <f aca="false">IF(C11="Electronics",I11*(1+Assumptions!$B$8),((G11/1000)*INDEX(Assumptions!$E$5:$E$20,MATCH(E11,Assumptions!$D$5:$D$20,0))*(1+Assumptions!$B$5)+G11*INDEX(Assumptions!$H$6:$H$9,MATCH(C11,Assumptions!$G$6:$G$9,0))+INDEX(Assumptions!$I$6:$I$9,MATCH(C11,Assumptions!$G$6:$G$9,0)))*(1+Assumptions!$B$6)*(1+Assumptions!$B$7))</f>
        <v>121.38</v>
      </c>
      <c r="L11" s="13" t="n">
        <f aca="false">K11*F11</f>
        <v>121.38</v>
      </c>
      <c r="M11" s="13" t="n">
        <f aca="false">J11-L11</f>
        <v>6.62</v>
      </c>
      <c r="N11" s="12" t="n">
        <f aca="false">M11*Assumptions!$B$10</f>
        <v>794400.000000001</v>
      </c>
    </row>
    <row r="12" customFormat="false" ht="15" hidden="false" customHeight="false" outlineLevel="0" collapsed="false">
      <c r="A12" s="10" t="s">
        <v>74</v>
      </c>
      <c r="B12" s="10" t="s">
        <v>75</v>
      </c>
      <c r="C12" s="10" t="s">
        <v>12</v>
      </c>
      <c r="D12" s="10" t="s">
        <v>76</v>
      </c>
      <c r="E12" s="10" t="s">
        <v>24</v>
      </c>
      <c r="F12" s="11" t="n">
        <v>1</v>
      </c>
      <c r="G12" s="11" t="n">
        <v>412</v>
      </c>
      <c r="H12" s="11" t="n">
        <v>674</v>
      </c>
      <c r="I12" s="11"/>
      <c r="J12" s="12" t="n">
        <f aca="false">F12*H12</f>
        <v>674</v>
      </c>
      <c r="K12" s="13" t="n">
        <f aca="false">IF(C12="Electronics",I12*(1+Assumptions!$B$8),((G12/1000)*INDEX(Assumptions!$E$5:$E$20,MATCH(E12,Assumptions!$D$5:$D$20,0))*(1+Assumptions!$B$5)+G12*INDEX(Assumptions!$H$6:$H$9,MATCH(C12,Assumptions!$G$6:$G$9,0))+INDEX(Assumptions!$I$6:$I$9,MATCH(C12,Assumptions!$G$6:$G$9,0)))*(1+Assumptions!$B$6)*(1+Assumptions!$B$7))</f>
        <v>495.7508864</v>
      </c>
      <c r="L12" s="13" t="n">
        <f aca="false">K12*F12</f>
        <v>495.7508864</v>
      </c>
      <c r="M12" s="13" t="n">
        <f aca="false">J12-L12</f>
        <v>178.2491136</v>
      </c>
      <c r="N12" s="12" t="n">
        <f aca="false">M12*Assumptions!$B$10</f>
        <v>21389893.632</v>
      </c>
    </row>
    <row r="13" customFormat="false" ht="15" hidden="false" customHeight="false" outlineLevel="0" collapsed="false">
      <c r="A13" s="10" t="s">
        <v>77</v>
      </c>
      <c r="B13" s="10" t="s">
        <v>78</v>
      </c>
      <c r="C13" s="10" t="s">
        <v>12</v>
      </c>
      <c r="D13" s="10" t="s">
        <v>79</v>
      </c>
      <c r="E13" s="10" t="s">
        <v>26</v>
      </c>
      <c r="F13" s="11" t="n">
        <v>1</v>
      </c>
      <c r="G13" s="11" t="n">
        <v>187</v>
      </c>
      <c r="H13" s="11" t="n">
        <v>557</v>
      </c>
      <c r="I13" s="11"/>
      <c r="J13" s="12" t="n">
        <f aca="false">F13*H13</f>
        <v>557</v>
      </c>
      <c r="K13" s="13" t="n">
        <f aca="false">IF(C13="Electronics",I13*(1+Assumptions!$B$8),((G13/1000)*INDEX(Assumptions!$E$5:$E$20,MATCH(E13,Assumptions!$D$5:$D$20,0))*(1+Assumptions!$B$5)+G13*INDEX(Assumptions!$H$6:$H$9,MATCH(C13,Assumptions!$G$6:$G$9,0))+INDEX(Assumptions!$I$6:$I$9,MATCH(C13,Assumptions!$G$6:$G$9,0)))*(1+Assumptions!$B$6)*(1+Assumptions!$B$7))</f>
        <v>520.069704</v>
      </c>
      <c r="L13" s="13" t="n">
        <f aca="false">K13*F13</f>
        <v>520.069704</v>
      </c>
      <c r="M13" s="13" t="n">
        <f aca="false">J13-L13</f>
        <v>36.9302959999999</v>
      </c>
      <c r="N13" s="12" t="n">
        <f aca="false">M13*Assumptions!$B$10</f>
        <v>4431635.51999999</v>
      </c>
    </row>
    <row r="14" customFormat="false" ht="15" hidden="false" customHeight="false" outlineLevel="0" collapsed="false">
      <c r="A14" s="10" t="s">
        <v>80</v>
      </c>
      <c r="B14" s="10" t="s">
        <v>81</v>
      </c>
      <c r="C14" s="10" t="s">
        <v>12</v>
      </c>
      <c r="D14" s="10" t="s">
        <v>76</v>
      </c>
      <c r="E14" s="10" t="s">
        <v>24</v>
      </c>
      <c r="F14" s="11" t="n">
        <v>1</v>
      </c>
      <c r="G14" s="11" t="n">
        <v>298</v>
      </c>
      <c r="H14" s="11" t="n">
        <v>498</v>
      </c>
      <c r="I14" s="11"/>
      <c r="J14" s="12" t="n">
        <f aca="false">F14*H14</f>
        <v>498</v>
      </c>
      <c r="K14" s="13" t="n">
        <f aca="false">IF(C14="Electronics",I14*(1+Assumptions!$B$8),((G14/1000)*INDEX(Assumptions!$E$5:$E$20,MATCH(E14,Assumptions!$D$5:$D$20,0))*(1+Assumptions!$B$5)+G14*INDEX(Assumptions!$H$6:$H$9,MATCH(C14,Assumptions!$G$6:$G$9,0))+INDEX(Assumptions!$I$6:$I$9,MATCH(C14,Assumptions!$G$6:$G$9,0)))*(1+Assumptions!$B$6)*(1+Assumptions!$B$7))</f>
        <v>372.2128256</v>
      </c>
      <c r="L14" s="13" t="n">
        <f aca="false">K14*F14</f>
        <v>372.2128256</v>
      </c>
      <c r="M14" s="13" t="n">
        <f aca="false">J14-L14</f>
        <v>125.7871744</v>
      </c>
      <c r="N14" s="12" t="n">
        <f aca="false">M14*Assumptions!$B$10</f>
        <v>15094460.928</v>
      </c>
    </row>
    <row r="15" customFormat="false" ht="15" hidden="false" customHeight="false" outlineLevel="0" collapsed="false">
      <c r="A15" s="10" t="s">
        <v>82</v>
      </c>
      <c r="B15" s="10" t="s">
        <v>83</v>
      </c>
      <c r="C15" s="10" t="s">
        <v>12</v>
      </c>
      <c r="D15" s="10" t="s">
        <v>76</v>
      </c>
      <c r="E15" s="10" t="s">
        <v>23</v>
      </c>
      <c r="F15" s="11" t="n">
        <v>1</v>
      </c>
      <c r="G15" s="11" t="n">
        <v>118</v>
      </c>
      <c r="H15" s="11" t="n">
        <v>219</v>
      </c>
      <c r="I15" s="11"/>
      <c r="J15" s="12" t="n">
        <f aca="false">F15*H15</f>
        <v>219</v>
      </c>
      <c r="K15" s="13" t="n">
        <f aca="false">IF(C15="Electronics",I15*(1+Assumptions!$B$8),((G15/1000)*INDEX(Assumptions!$E$5:$E$20,MATCH(E15,Assumptions!$D$5:$D$20,0))*(1+Assumptions!$B$5)+G15*INDEX(Assumptions!$H$6:$H$9,MATCH(C15,Assumptions!$G$6:$G$9,0))+INDEX(Assumptions!$I$6:$I$9,MATCH(C15,Assumptions!$G$6:$G$9,0)))*(1+Assumptions!$B$6)*(1+Assumptions!$B$7))</f>
        <v>353.84272</v>
      </c>
      <c r="L15" s="13" t="n">
        <f aca="false">K15*F15</f>
        <v>353.84272</v>
      </c>
      <c r="M15" s="13" t="n">
        <f aca="false">J15-L15</f>
        <v>-134.84272</v>
      </c>
      <c r="N15" s="12" t="n">
        <f aca="false">M15*Assumptions!$B$10</f>
        <v>-16181126.4</v>
      </c>
    </row>
    <row r="16" customFormat="false" ht="15" hidden="false" customHeight="false" outlineLevel="0" collapsed="false">
      <c r="A16" s="10" t="s">
        <v>84</v>
      </c>
      <c r="B16" s="10" t="s">
        <v>85</v>
      </c>
      <c r="C16" s="10" t="s">
        <v>12</v>
      </c>
      <c r="D16" s="10" t="s">
        <v>76</v>
      </c>
      <c r="E16" s="10" t="s">
        <v>27</v>
      </c>
      <c r="F16" s="11" t="n">
        <v>1</v>
      </c>
      <c r="G16" s="11" t="n">
        <v>64</v>
      </c>
      <c r="H16" s="11" t="n">
        <v>158</v>
      </c>
      <c r="I16" s="11"/>
      <c r="J16" s="12" t="n">
        <f aca="false">F16*H16</f>
        <v>158</v>
      </c>
      <c r="K16" s="13" t="n">
        <f aca="false">IF(C16="Electronics",I16*(1+Assumptions!$B$8),((G16/1000)*INDEX(Assumptions!$E$5:$E$20,MATCH(E16,Assumptions!$D$5:$D$20,0))*(1+Assumptions!$B$5)+G16*INDEX(Assumptions!$H$6:$H$9,MATCH(C16,Assumptions!$G$6:$G$9,0))+INDEX(Assumptions!$I$6:$I$9,MATCH(C16,Assumptions!$G$6:$G$9,0)))*(1+Assumptions!$B$6)*(1+Assumptions!$B$7))</f>
        <v>147.8715392</v>
      </c>
      <c r="L16" s="13" t="n">
        <f aca="false">K16*F16</f>
        <v>147.8715392</v>
      </c>
      <c r="M16" s="13" t="n">
        <f aca="false">J16-L16</f>
        <v>10.1284608</v>
      </c>
      <c r="N16" s="12" t="n">
        <f aca="false">M16*Assumptions!$B$10</f>
        <v>1215415.296</v>
      </c>
    </row>
    <row r="17" customFormat="false" ht="15" hidden="false" customHeight="false" outlineLevel="0" collapsed="false">
      <c r="A17" s="10" t="s">
        <v>86</v>
      </c>
      <c r="B17" s="10" t="s">
        <v>87</v>
      </c>
      <c r="C17" s="10" t="s">
        <v>12</v>
      </c>
      <c r="D17" s="10" t="s">
        <v>76</v>
      </c>
      <c r="E17" s="10" t="s">
        <v>24</v>
      </c>
      <c r="F17" s="11" t="n">
        <v>1</v>
      </c>
      <c r="G17" s="11" t="n">
        <v>28</v>
      </c>
      <c r="H17" s="11" t="n">
        <v>160</v>
      </c>
      <c r="I17" s="11"/>
      <c r="J17" s="12" t="n">
        <f aca="false">F17*H17</f>
        <v>160</v>
      </c>
      <c r="K17" s="13" t="n">
        <f aca="false">IF(C17="Electronics",I17*(1+Assumptions!$B$8),((G17/1000)*INDEX(Assumptions!$E$5:$E$20,MATCH(E17,Assumptions!$D$5:$D$20,0))*(1+Assumptions!$B$5)+G17*INDEX(Assumptions!$H$6:$H$9,MATCH(C17,Assumptions!$G$6:$G$9,0))+INDEX(Assumptions!$I$6:$I$9,MATCH(C17,Assumptions!$G$6:$G$9,0)))*(1+Assumptions!$B$6)*(1+Assumptions!$B$7))</f>
        <v>79.6226816</v>
      </c>
      <c r="L17" s="13" t="n">
        <f aca="false">K17*F17</f>
        <v>79.6226816</v>
      </c>
      <c r="M17" s="13" t="n">
        <f aca="false">J17-L17</f>
        <v>80.3773184</v>
      </c>
      <c r="N17" s="12" t="n">
        <f aca="false">M17*Assumptions!$B$10</f>
        <v>9645278.208</v>
      </c>
    </row>
    <row r="18" customFormat="false" ht="15" hidden="false" customHeight="false" outlineLevel="0" collapsed="false">
      <c r="A18" s="10" t="s">
        <v>88</v>
      </c>
      <c r="B18" s="10" t="s">
        <v>89</v>
      </c>
      <c r="C18" s="10" t="s">
        <v>15</v>
      </c>
      <c r="D18" s="10" t="s">
        <v>90</v>
      </c>
      <c r="E18" s="10" t="s">
        <v>28</v>
      </c>
      <c r="F18" s="11" t="n">
        <v>1</v>
      </c>
      <c r="G18" s="11" t="n">
        <v>342</v>
      </c>
      <c r="H18" s="11" t="n">
        <v>537</v>
      </c>
      <c r="I18" s="11"/>
      <c r="J18" s="12" t="n">
        <f aca="false">F18*H18</f>
        <v>537</v>
      </c>
      <c r="K18" s="13" t="n">
        <f aca="false">IF(C18="Electronics",I18*(1+Assumptions!$B$8),((G18/1000)*INDEX(Assumptions!$E$5:$E$20,MATCH(E18,Assumptions!$D$5:$D$20,0))*(1+Assumptions!$B$5)+G18*INDEX(Assumptions!$H$6:$H$9,MATCH(C18,Assumptions!$G$6:$G$9,0))+INDEX(Assumptions!$I$6:$I$9,MATCH(C18,Assumptions!$G$6:$G$9,0)))*(1+Assumptions!$B$6)*(1+Assumptions!$B$7))</f>
        <v>510.5979648</v>
      </c>
      <c r="L18" s="13" t="n">
        <f aca="false">K18*F18</f>
        <v>510.5979648</v>
      </c>
      <c r="M18" s="13" t="n">
        <f aca="false">J18-L18</f>
        <v>26.4020351999999</v>
      </c>
      <c r="N18" s="12" t="n">
        <f aca="false">M18*Assumptions!$B$10</f>
        <v>3168244.22399999</v>
      </c>
    </row>
    <row r="19" customFormat="false" ht="15" hidden="false" customHeight="false" outlineLevel="0" collapsed="false">
      <c r="A19" s="10" t="s">
        <v>91</v>
      </c>
      <c r="B19" s="10" t="s">
        <v>92</v>
      </c>
      <c r="C19" s="10" t="s">
        <v>15</v>
      </c>
      <c r="D19" s="10" t="s">
        <v>93</v>
      </c>
      <c r="E19" s="10" t="s">
        <v>29</v>
      </c>
      <c r="F19" s="11" t="n">
        <v>1</v>
      </c>
      <c r="G19" s="11" t="n">
        <v>96</v>
      </c>
      <c r="H19" s="11" t="n">
        <v>235</v>
      </c>
      <c r="I19" s="11"/>
      <c r="J19" s="12" t="n">
        <f aca="false">F19*H19</f>
        <v>235</v>
      </c>
      <c r="K19" s="13" t="n">
        <f aca="false">IF(C19="Electronics",I19*(1+Assumptions!$B$8),((G19/1000)*INDEX(Assumptions!$E$5:$E$20,MATCH(E19,Assumptions!$D$5:$D$20,0))*(1+Assumptions!$B$5)+G19*INDEX(Assumptions!$H$6:$H$9,MATCH(C19,Assumptions!$G$6:$G$9,0))+INDEX(Assumptions!$I$6:$I$9,MATCH(C19,Assumptions!$G$6:$G$9,0)))*(1+Assumptions!$B$6)*(1+Assumptions!$B$7))</f>
        <v>233.5872</v>
      </c>
      <c r="L19" s="13" t="n">
        <f aca="false">K19*F19</f>
        <v>233.5872</v>
      </c>
      <c r="M19" s="13" t="n">
        <f aca="false">J19-L19</f>
        <v>1.41279999999995</v>
      </c>
      <c r="N19" s="12" t="n">
        <f aca="false">M19*Assumptions!$B$10</f>
        <v>169535.999999994</v>
      </c>
    </row>
    <row r="20" customFormat="false" ht="15" hidden="false" customHeight="false" outlineLevel="0" collapsed="false">
      <c r="A20" s="10" t="s">
        <v>94</v>
      </c>
      <c r="B20" s="10" t="s">
        <v>95</v>
      </c>
      <c r="C20" s="10" t="s">
        <v>15</v>
      </c>
      <c r="D20" s="10" t="s">
        <v>93</v>
      </c>
      <c r="E20" s="10" t="s">
        <v>29</v>
      </c>
      <c r="F20" s="11" t="n">
        <v>1</v>
      </c>
      <c r="G20" s="11" t="n">
        <v>42</v>
      </c>
      <c r="H20" s="11" t="n">
        <v>163</v>
      </c>
      <c r="I20" s="11"/>
      <c r="J20" s="12" t="n">
        <f aca="false">F20*H20</f>
        <v>163</v>
      </c>
      <c r="K20" s="13" t="n">
        <f aca="false">IF(C20="Electronics",I20*(1+Assumptions!$B$8),((G20/1000)*INDEX(Assumptions!$E$5:$E$20,MATCH(E20,Assumptions!$D$5:$D$20,0))*(1+Assumptions!$B$5)+G20*INDEX(Assumptions!$H$6:$H$9,MATCH(C20,Assumptions!$G$6:$G$9,0))+INDEX(Assumptions!$I$6:$I$9,MATCH(C20,Assumptions!$G$6:$G$9,0)))*(1+Assumptions!$B$6)*(1+Assumptions!$B$7))</f>
        <v>114.6684</v>
      </c>
      <c r="L20" s="13" t="n">
        <f aca="false">K20*F20</f>
        <v>114.6684</v>
      </c>
      <c r="M20" s="13" t="n">
        <f aca="false">J20-L20</f>
        <v>48.3316</v>
      </c>
      <c r="N20" s="12" t="n">
        <f aca="false">M20*Assumptions!$B$10</f>
        <v>5799792</v>
      </c>
    </row>
    <row r="21" customFormat="false" ht="15" hidden="false" customHeight="false" outlineLevel="0" collapsed="false">
      <c r="A21" s="10" t="s">
        <v>96</v>
      </c>
      <c r="B21" s="10" t="s">
        <v>97</v>
      </c>
      <c r="C21" s="10" t="s">
        <v>15</v>
      </c>
      <c r="D21" s="10" t="s">
        <v>98</v>
      </c>
      <c r="E21" s="10" t="s">
        <v>30</v>
      </c>
      <c r="F21" s="11" t="n">
        <v>1</v>
      </c>
      <c r="G21" s="11" t="n">
        <v>12</v>
      </c>
      <c r="H21" s="11" t="n">
        <v>212</v>
      </c>
      <c r="I21" s="11"/>
      <c r="J21" s="12" t="n">
        <f aca="false">F21*H21</f>
        <v>212</v>
      </c>
      <c r="K21" s="13" t="n">
        <f aca="false">IF(C21="Electronics",I21*(1+Assumptions!$B$8),((G21/1000)*INDEX(Assumptions!$E$5:$E$20,MATCH(E21,Assumptions!$D$5:$D$20,0))*(1+Assumptions!$B$5)+G21*INDEX(Assumptions!$H$6:$H$9,MATCH(C21,Assumptions!$G$6:$G$9,0))+INDEX(Assumptions!$I$6:$I$9,MATCH(C21,Assumptions!$G$6:$G$9,0)))*(1+Assumptions!$B$6)*(1+Assumptions!$B$7))</f>
        <v>151.38816</v>
      </c>
      <c r="L21" s="13" t="n">
        <f aca="false">K21*F21</f>
        <v>151.38816</v>
      </c>
      <c r="M21" s="13" t="n">
        <f aca="false">J21-L21</f>
        <v>60.61184</v>
      </c>
      <c r="N21" s="12" t="n">
        <f aca="false">M21*Assumptions!$B$10</f>
        <v>7273420.8</v>
      </c>
    </row>
    <row r="22" customFormat="false" ht="15" hidden="false" customHeight="false" outlineLevel="0" collapsed="false">
      <c r="A22" s="10" t="s">
        <v>99</v>
      </c>
      <c r="B22" s="10" t="s">
        <v>100</v>
      </c>
      <c r="C22" s="10" t="s">
        <v>15</v>
      </c>
      <c r="D22" s="10" t="s">
        <v>98</v>
      </c>
      <c r="E22" s="10" t="s">
        <v>31</v>
      </c>
      <c r="F22" s="11" t="n">
        <v>1</v>
      </c>
      <c r="G22" s="11" t="n">
        <v>8</v>
      </c>
      <c r="H22" s="11" t="n">
        <v>39</v>
      </c>
      <c r="I22" s="11"/>
      <c r="J22" s="12" t="n">
        <f aca="false">F22*H22</f>
        <v>39</v>
      </c>
      <c r="K22" s="13" t="n">
        <f aca="false">IF(C22="Electronics",I22*(1+Assumptions!$B$8),((G22/1000)*INDEX(Assumptions!$E$5:$E$20,MATCH(E22,Assumptions!$D$5:$D$20,0))*(1+Assumptions!$B$5)+G22*INDEX(Assumptions!$H$6:$H$9,MATCH(C22,Assumptions!$G$6:$G$9,0))+INDEX(Assumptions!$I$6:$I$9,MATCH(C22,Assumptions!$G$6:$G$9,0)))*(1+Assumptions!$B$6)*(1+Assumptions!$B$7))</f>
        <v>36.240512</v>
      </c>
      <c r="L22" s="13" t="n">
        <f aca="false">K22*F22</f>
        <v>36.240512</v>
      </c>
      <c r="M22" s="13" t="n">
        <f aca="false">J22-L22</f>
        <v>2.759488</v>
      </c>
      <c r="N22" s="12" t="n">
        <f aca="false">M22*Assumptions!$B$10</f>
        <v>331138.56</v>
      </c>
    </row>
    <row r="23" customFormat="false" ht="15" hidden="false" customHeight="false" outlineLevel="0" collapsed="false">
      <c r="A23" s="10" t="s">
        <v>101</v>
      </c>
      <c r="B23" s="10" t="s">
        <v>102</v>
      </c>
      <c r="C23" s="10" t="s">
        <v>15</v>
      </c>
      <c r="D23" s="10" t="s">
        <v>90</v>
      </c>
      <c r="E23" s="10" t="s">
        <v>24</v>
      </c>
      <c r="F23" s="11" t="n">
        <v>1</v>
      </c>
      <c r="G23" s="11" t="n">
        <v>118</v>
      </c>
      <c r="H23" s="11" t="n">
        <v>136</v>
      </c>
      <c r="I23" s="11"/>
      <c r="J23" s="12" t="n">
        <f aca="false">F23*H23</f>
        <v>136</v>
      </c>
      <c r="K23" s="13" t="n">
        <f aca="false">IF(C23="Electronics",I23*(1+Assumptions!$B$8),((G23/1000)*INDEX(Assumptions!$E$5:$E$20,MATCH(E23,Assumptions!$D$5:$D$20,0))*(1+Assumptions!$B$5)+G23*INDEX(Assumptions!$H$6:$H$9,MATCH(C23,Assumptions!$G$6:$G$9,0))+INDEX(Assumptions!$I$6:$I$9,MATCH(C23,Assumptions!$G$6:$G$9,0)))*(1+Assumptions!$B$6)*(1+Assumptions!$B$7))</f>
        <v>142.7799296</v>
      </c>
      <c r="L23" s="13" t="n">
        <f aca="false">K23*F23</f>
        <v>142.7799296</v>
      </c>
      <c r="M23" s="13" t="n">
        <f aca="false">J23-L23</f>
        <v>-6.7799296</v>
      </c>
      <c r="N23" s="12" t="n">
        <f aca="false">M23*Assumptions!$B$10</f>
        <v>-813591.552</v>
      </c>
    </row>
    <row r="24" customFormat="false" ht="15" hidden="false" customHeight="false" outlineLevel="0" collapsed="false">
      <c r="A24" s="10" t="s">
        <v>103</v>
      </c>
      <c r="B24" s="10" t="s">
        <v>104</v>
      </c>
      <c r="C24" s="10" t="s">
        <v>15</v>
      </c>
      <c r="D24" s="10" t="s">
        <v>98</v>
      </c>
      <c r="E24" s="10" t="s">
        <v>32</v>
      </c>
      <c r="F24" s="11" t="n">
        <v>1</v>
      </c>
      <c r="G24" s="11" t="n">
        <v>9</v>
      </c>
      <c r="H24" s="11" t="n">
        <v>46</v>
      </c>
      <c r="I24" s="11"/>
      <c r="J24" s="12" t="n">
        <f aca="false">F24*H24</f>
        <v>46</v>
      </c>
      <c r="K24" s="13" t="n">
        <f aca="false">IF(C24="Electronics",I24*(1+Assumptions!$B$8),((G24/1000)*INDEX(Assumptions!$E$5:$E$20,MATCH(E24,Assumptions!$D$5:$D$20,0))*(1+Assumptions!$B$5)+G24*INDEX(Assumptions!$H$6:$H$9,MATCH(C24,Assumptions!$G$6:$G$9,0))+INDEX(Assumptions!$I$6:$I$9,MATCH(C24,Assumptions!$G$6:$G$9,0)))*(1+Assumptions!$B$6)*(1+Assumptions!$B$7))</f>
        <v>36.856512</v>
      </c>
      <c r="L24" s="13" t="n">
        <f aca="false">K24*F24</f>
        <v>36.856512</v>
      </c>
      <c r="M24" s="13" t="n">
        <f aca="false">J24-L24</f>
        <v>9.14348799999999</v>
      </c>
      <c r="N24" s="12" t="n">
        <f aca="false">M24*Assumptions!$B$10</f>
        <v>1097218.56</v>
      </c>
    </row>
    <row r="25" customFormat="false" ht="15" hidden="false" customHeight="false" outlineLevel="0" collapsed="false">
      <c r="A25" s="10" t="s">
        <v>105</v>
      </c>
      <c r="B25" s="10" t="s">
        <v>106</v>
      </c>
      <c r="C25" s="10" t="s">
        <v>18</v>
      </c>
      <c r="D25" s="10" t="s">
        <v>107</v>
      </c>
      <c r="E25" s="10" t="s">
        <v>24</v>
      </c>
      <c r="F25" s="11" t="n">
        <v>1</v>
      </c>
      <c r="G25" s="11" t="n">
        <v>22</v>
      </c>
      <c r="H25" s="11" t="n">
        <v>27</v>
      </c>
      <c r="I25" s="11"/>
      <c r="J25" s="12" t="n">
        <f aca="false">F25*H25</f>
        <v>27</v>
      </c>
      <c r="K25" s="13" t="n">
        <f aca="false">IF(C25="Electronics",I25*(1+Assumptions!$B$8),((G25/1000)*INDEX(Assumptions!$E$5:$E$20,MATCH(E25,Assumptions!$D$5:$D$20,0))*(1+Assumptions!$B$5)+G25*INDEX(Assumptions!$H$6:$H$9,MATCH(C25,Assumptions!$G$6:$G$9,0))+INDEX(Assumptions!$I$6:$I$9,MATCH(C25,Assumptions!$G$6:$G$9,0)))*(1+Assumptions!$B$6)*(1+Assumptions!$B$7))</f>
        <v>16.5718784</v>
      </c>
      <c r="L25" s="13" t="n">
        <f aca="false">K25*F25</f>
        <v>16.5718784</v>
      </c>
      <c r="M25" s="13" t="n">
        <f aca="false">J25-L25</f>
        <v>10.4281216</v>
      </c>
      <c r="N25" s="12" t="n">
        <f aca="false">M25*Assumptions!$B$10</f>
        <v>1251374.592</v>
      </c>
    </row>
    <row r="26" customFormat="false" ht="15" hidden="false" customHeight="false" outlineLevel="0" collapsed="false">
      <c r="A26" s="10" t="s">
        <v>108</v>
      </c>
      <c r="B26" s="10" t="s">
        <v>109</v>
      </c>
      <c r="C26" s="10" t="s">
        <v>21</v>
      </c>
      <c r="D26" s="10" t="s">
        <v>110</v>
      </c>
      <c r="E26" s="10" t="s">
        <v>33</v>
      </c>
      <c r="F26" s="11" t="n">
        <v>1</v>
      </c>
      <c r="G26" s="11" t="n">
        <v>3</v>
      </c>
      <c r="H26" s="11" t="n">
        <v>12</v>
      </c>
      <c r="I26" s="11"/>
      <c r="J26" s="12" t="n">
        <f aca="false">F26*H26</f>
        <v>12</v>
      </c>
      <c r="K26" s="13" t="n">
        <f aca="false">IF(C26="Electronics",I26*(1+Assumptions!$B$8),((G26/1000)*INDEX(Assumptions!$E$5:$E$20,MATCH(E26,Assumptions!$D$5:$D$20,0))*(1+Assumptions!$B$5)+G26*INDEX(Assumptions!$H$6:$H$9,MATCH(C26,Assumptions!$G$6:$G$9,0))+INDEX(Assumptions!$I$6:$I$9,MATCH(C26,Assumptions!$G$6:$G$9,0)))*(1+Assumptions!$B$6)*(1+Assumptions!$B$7))</f>
        <v>5.588352</v>
      </c>
      <c r="L26" s="13" t="n">
        <f aca="false">K26*F26</f>
        <v>5.588352</v>
      </c>
      <c r="M26" s="13" t="n">
        <f aca="false">J26-L26</f>
        <v>6.411648</v>
      </c>
      <c r="N26" s="12" t="n">
        <f aca="false">M26*Assumptions!$B$10</f>
        <v>769397.76</v>
      </c>
    </row>
    <row r="27" customFormat="false" ht="15" hidden="false" customHeight="false" outlineLevel="0" collapsed="false">
      <c r="A27" s="10" t="s">
        <v>111</v>
      </c>
      <c r="B27" s="10" t="s">
        <v>112</v>
      </c>
      <c r="C27" s="10" t="s">
        <v>21</v>
      </c>
      <c r="D27" s="10" t="s">
        <v>110</v>
      </c>
      <c r="E27" s="10" t="s">
        <v>34</v>
      </c>
      <c r="F27" s="11" t="n">
        <v>1</v>
      </c>
      <c r="G27" s="11" t="n">
        <v>7</v>
      </c>
      <c r="H27" s="11" t="n">
        <v>15</v>
      </c>
      <c r="I27" s="11"/>
      <c r="J27" s="12" t="n">
        <f aca="false">F27*H27</f>
        <v>15</v>
      </c>
      <c r="K27" s="13" t="n">
        <f aca="false">IF(C27="Electronics",I27*(1+Assumptions!$B$8),((G27/1000)*INDEX(Assumptions!$E$5:$E$20,MATCH(E27,Assumptions!$D$5:$D$20,0))*(1+Assumptions!$B$5)+G27*INDEX(Assumptions!$H$6:$H$9,MATCH(C27,Assumptions!$G$6:$G$9,0))+INDEX(Assumptions!$I$6:$I$9,MATCH(C27,Assumptions!$G$6:$G$9,0)))*(1+Assumptions!$B$6)*(1+Assumptions!$B$7))</f>
        <v>6.8679072</v>
      </c>
      <c r="L27" s="13" t="n">
        <f aca="false">K27*F27</f>
        <v>6.8679072</v>
      </c>
      <c r="M27" s="13" t="n">
        <f aca="false">J27-L27</f>
        <v>8.1320928</v>
      </c>
      <c r="N27" s="12" t="n">
        <f aca="false">M27*Assumptions!$B$10</f>
        <v>975851.136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4" t="s">
        <v>115</v>
      </c>
      <c r="B4" s="14" t="n">
        <f aca="false">SUM(BOM!J2:J27)</f>
        <v>5727</v>
      </c>
    </row>
    <row r="5" customFormat="false" ht="15" hidden="false" customHeight="false" outlineLevel="0" collapsed="false">
      <c r="A5" s="4" t="s">
        <v>116</v>
      </c>
      <c r="B5" s="14" t="n">
        <f aca="false">SUM(BOM!L2:L27)</f>
        <v>5084.9971728</v>
      </c>
    </row>
    <row r="6" customFormat="false" ht="15" hidden="false" customHeight="false" outlineLevel="0" collapsed="false">
      <c r="A6" s="4" t="s">
        <v>117</v>
      </c>
      <c r="B6" s="14" t="n">
        <f aca="false">B4*(1-Assumptions!$B$9)</f>
        <v>5268.84</v>
      </c>
    </row>
    <row r="7" customFormat="false" ht="15" hidden="false" customHeight="false" outlineLevel="0" collapsed="false">
      <c r="A7" s="4" t="s">
        <v>118</v>
      </c>
      <c r="B7" s="14" t="n">
        <f aca="false">B4-B5</f>
        <v>642.002827199999</v>
      </c>
    </row>
    <row r="8" customFormat="false" ht="15" hidden="false" customHeight="false" outlineLevel="0" collapsed="false">
      <c r="A8" s="4" t="s">
        <v>119</v>
      </c>
      <c r="B8" s="15" t="n">
        <f aca="false">B7/B4</f>
        <v>0.112101069879518</v>
      </c>
    </row>
    <row r="9" customFormat="false" ht="15" hidden="false" customHeight="false" outlineLevel="0" collapsed="false">
      <c r="A9" s="4" t="s">
        <v>120</v>
      </c>
      <c r="B9" s="14" t="n">
        <f aca="false">B4-B6</f>
        <v>458.16</v>
      </c>
    </row>
    <row r="10" customFormat="false" ht="15" hidden="false" customHeight="false" outlineLevel="0" collapsed="false">
      <c r="A10" s="4" t="s">
        <v>121</v>
      </c>
      <c r="B10" s="15" t="n">
        <f aca="false">B7/B9</f>
        <v>1.40126337349397</v>
      </c>
    </row>
    <row r="11" customFormat="false" ht="15" hidden="false" customHeight="false" outlineLevel="0" collapsed="false">
      <c r="A11" s="4" t="s">
        <v>122</v>
      </c>
      <c r="B11" s="14" t="n">
        <f aca="false">B7*Assumptions!$B$10</f>
        <v>77040339.2639999</v>
      </c>
    </row>
    <row r="13" customFormat="false" ht="15" hidden="false" customHeight="false" outlineLevel="0" collapsed="false">
      <c r="A13" s="3" t="s">
        <v>123</v>
      </c>
    </row>
    <row r="14" customFormat="false" ht="15" hidden="false" customHeight="false" outlineLevel="0" collapsed="false">
      <c r="A14" s="9" t="s">
        <v>7</v>
      </c>
      <c r="B14" s="9" t="s">
        <v>124</v>
      </c>
      <c r="C14" s="9" t="s">
        <v>125</v>
      </c>
      <c r="D14" s="9" t="s">
        <v>126</v>
      </c>
    </row>
    <row r="15" customFormat="false" ht="15" hidden="false" customHeight="false" outlineLevel="0" collapsed="false">
      <c r="A15" s="4" t="s">
        <v>12</v>
      </c>
      <c r="B15" s="16" t="n">
        <f aca="false">SUMIFS(BOM!$J$2:$J$27,BOM!$C$2:$C$27,A15)</f>
        <v>2266</v>
      </c>
      <c r="C15" s="16" t="n">
        <f aca="false">SUMIFS(BOM!$L$2:$L$27,BOM!$C$2:$C$27,A15)</f>
        <v>1969.3703568</v>
      </c>
      <c r="D15" s="16" t="n">
        <f aca="false">B15-C15</f>
        <v>296.629643199999</v>
      </c>
    </row>
    <row r="16" customFormat="false" ht="15" hidden="false" customHeight="false" outlineLevel="0" collapsed="false">
      <c r="A16" s="4" t="s">
        <v>15</v>
      </c>
      <c r="B16" s="16" t="n">
        <f aca="false">SUMIFS(BOM!$J$2:$J$27,BOM!$C$2:$C$27,A16)</f>
        <v>1368</v>
      </c>
      <c r="C16" s="16" t="n">
        <f aca="false">SUMIFS(BOM!$L$2:$L$27,BOM!$C$2:$C$27,A16)</f>
        <v>1226.1186784</v>
      </c>
      <c r="D16" s="16" t="n">
        <f aca="false">B16-C16</f>
        <v>141.8813216</v>
      </c>
    </row>
    <row r="17" customFormat="false" ht="15" hidden="false" customHeight="false" outlineLevel="0" collapsed="false">
      <c r="A17" s="4" t="s">
        <v>51</v>
      </c>
      <c r="B17" s="16" t="n">
        <f aca="false">SUMIFS(BOM!$J$2:$J$27,BOM!$C$2:$C$27,A17)</f>
        <v>2039</v>
      </c>
      <c r="C17" s="16" t="n">
        <f aca="false">SUMIFS(BOM!$L$2:$L$27,BOM!$C$2:$C$27,A17)</f>
        <v>1860.48</v>
      </c>
      <c r="D17" s="16" t="n">
        <f aca="false">B17-C17</f>
        <v>178.52</v>
      </c>
    </row>
    <row r="18" customFormat="false" ht="15" hidden="false" customHeight="false" outlineLevel="0" collapsed="false">
      <c r="A18" s="4" t="s">
        <v>18</v>
      </c>
      <c r="B18" s="16" t="n">
        <f aca="false">SUMIFS(BOM!$J$2:$J$27,BOM!$C$2:$C$27,A18)</f>
        <v>27</v>
      </c>
      <c r="C18" s="16" t="n">
        <f aca="false">SUMIFS(BOM!$L$2:$L$27,BOM!$C$2:$C$27,A18)</f>
        <v>16.5718784</v>
      </c>
      <c r="D18" s="16" t="n">
        <f aca="false">B18-C18</f>
        <v>10.4281216</v>
      </c>
    </row>
    <row r="19" customFormat="false" ht="15" hidden="false" customHeight="false" outlineLevel="0" collapsed="false">
      <c r="A19" s="4" t="s">
        <v>21</v>
      </c>
      <c r="B19" s="16" t="n">
        <f aca="false">SUMIFS(BOM!$J$2:$J$27,BOM!$C$2:$C$27,A19)</f>
        <v>27</v>
      </c>
      <c r="C19" s="16" t="n">
        <f aca="false">SUMIFS(BOM!$L$2:$L$27,BOM!$C$2:$C$27,A19)</f>
        <v>12.4562592</v>
      </c>
      <c r="D19" s="16" t="n">
        <f aca="false">B19-C19</f>
        <v>14.5437408</v>
      </c>
    </row>
    <row r="21" customFormat="false" ht="15" hidden="false" customHeight="false" outlineLevel="0" collapsed="false">
      <c r="A21" s="2" t="s">
        <v>127</v>
      </c>
    </row>
    <row r="22" customFormat="false" ht="15" hidden="false" customHeight="false" outlineLevel="0" collapsed="false">
      <c r="A22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2026-07-19T15:40:06Z</dcterms:created>
  <dc:creator>openpyxl</dc:creator>
  <dc:description/>
  <dc:language>en-US</dc:language>
  <cp:lastModifiedBy/>
  <dcterms:modified xsi:type="dcterms:W3CDTF">2026-07-19T15:40:06Z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